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ild Summary" sheetId="1" state="visible" r:id="rId3"/>
    <sheet name="Full Parts List" sheetId="2" state="visible" r:id="rId4"/>
    <sheet name="Pivot Table_Full Parts List_1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<sst xmlns="http://schemas.openxmlformats.org/spreadsheetml/2006/main" count="136" uniqueCount="67">
  <si>
    <t xml:space="preserve">Component Category</t>
  </si>
  <si>
    <t xml:space="preserve">Total Parts Needed</t>
  </si>
  <si>
    <t xml:space="preserve">Unique Components</t>
  </si>
  <si>
    <t xml:space="preserve">Keyboard Items</t>
  </si>
  <si>
    <t xml:space="preserve">PCB Items</t>
  </si>
  <si>
    <t xml:space="preserve">Total (Active)</t>
  </si>
  <si>
    <t xml:space="preserve">Item Description</t>
  </si>
  <si>
    <t xml:space="preserve">Quantity</t>
  </si>
  <si>
    <t xml:space="preserve">Unit Price</t>
  </si>
  <si>
    <t xml:space="preserve">Total</t>
  </si>
  <si>
    <t xml:space="preserve">Category</t>
  </si>
  <si>
    <t xml:space="preserve">Status</t>
  </si>
  <si>
    <t xml:space="preserve">Purchase Link</t>
  </si>
  <si>
    <t xml:space="preserve">Stabs</t>
  </si>
  <si>
    <t xml:space="preserve">Active</t>
  </si>
  <si>
    <t xml:space="preserve">https://neomacro.in/products/cherry-pcb-mount-stabilizers-clip-in</t>
  </si>
  <si>
    <t xml:space="preserve">Stabs wire set</t>
  </si>
  <si>
    <t xml:space="preserve">https://neomacro.in/products/equalz-c3-stabilizer-wire-set</t>
  </si>
  <si>
    <t xml:space="preserve">Stabs (optional)</t>
  </si>
  <si>
    <t xml:space="preserve">Discarded</t>
  </si>
  <si>
    <t xml:space="preserve">https://meckeys.com/shop/accessories/keyboard-accessories/more/glorious-goat-stabilizers/</t>
  </si>
  <si>
    <t xml:space="preserve">sockets</t>
  </si>
  <si>
    <t xml:space="preserve">https://meckeys.com/shop/accessories/keyboard-accessories/key-switches/kailh-hot-swap-socket/</t>
  </si>
  <si>
    <t xml:space="preserve">switches (HMx Hyacinth v2)</t>
  </si>
  <si>
    <t xml:space="preserve">https://meckeys.com/shop/accessories/keyboard-accessories/key-switches/hmx-hyacinth-v2-switch/</t>
  </si>
  <si>
    <t xml:space="preserve">switches (Kailh Box Cream Pro)</t>
  </si>
  <si>
    <t xml:space="preserve">https://meckeys.com/shop/accessories/keyboard-accessories/key-switches/kailh-box-cream-pro-switch/</t>
  </si>
  <si>
    <t xml:space="preserve">MCU (STM32F405RGT6)</t>
  </si>
  <si>
    <t xml:space="preserve">https://robu.in/product/stm32f405rgt6-stmicroelectronics-arm-mcu-advanced-connectivity-and-encryption-stm32-family-stm32f4-series-microcontrollers-2/</t>
  </si>
  <si>
    <t xml:space="preserve">12Mhz crystals HC49/US</t>
  </si>
  <si>
    <t xml:space="preserve">https://www.mouser.in/ProductDetail/ABRACON/ABLS2-12.000MHZ-D4Y-T?qs=LoTOQoUkC8Rn80rn3Dp9%252Bw%3D%3D</t>
  </si>
  <si>
    <t xml:space="preserve">1N4148 SOD-123-2</t>
  </si>
  <si>
    <t xml:space="preserve">https://www.mouser.in/ProductDetail/Panjit/1N4148W_R1_00001?qs=sPbYRqrBIVnqVztCqPNVrw%3D%3D</t>
  </si>
  <si>
    <t xml:space="preserve">22pF 2012</t>
  </si>
  <si>
    <t xml:space="preserve">https://www.mouser.in/ProductDetail/KYOCERA-AVX/0805ZA220JAT2A?qs=qVfB0%2FDaMDayn2JkoZWS9w%3D%3D</t>
  </si>
  <si>
    <t xml:space="preserve">0.01uF 2012</t>
  </si>
  <si>
    <t xml:space="preserve">https://www.mouser.in/ProductDetail/KYOCERA-AVX/0805YC103JAT2A?qs=hDfa8caAWT981330vF6Hgg%3D%3D</t>
  </si>
  <si>
    <t xml:space="preserve">0.1uF 2012</t>
  </si>
  <si>
    <t xml:space="preserve">https://www.mouser.in/ProductDetail/KYOCERA-AVX/KAM21BR71H104JM?qs=sGAEpiMZZMuMW9TJLBQkXqLYvz3DzaXfcS9olcxY6vM%3D</t>
  </si>
  <si>
    <t xml:space="preserve">2.2uF 2012</t>
  </si>
  <si>
    <t xml:space="preserve">https://www.mouser.in/ProductDetail/KYOCERA-AVX/0805YC225JAT2A?qs=%252BdQmOuGyFcHAs%2FdSKfbQcg%3D%3D</t>
  </si>
  <si>
    <t xml:space="preserve">10uF 2012</t>
  </si>
  <si>
    <t xml:space="preserve">https://www.mouser.in/ProductDetail/Walsin/0805B106K6R3CT?qs=sGAEpiMZZMuMW9TJLBQkXoaTank9xe3KyjArHnZbXP4%3D</t>
  </si>
  <si>
    <t xml:space="preserve">5.1kOhm 2012</t>
  </si>
  <si>
    <t xml:space="preserve">https://www.mouser.in/ProductDetail/YAGEO/RC0805JR-105K1L?qs=sGAEpiMZZMtlubZbdhIBIEgN9MQql2m6y5lVZltd6Tw%3D</t>
  </si>
  <si>
    <t xml:space="preserve">10kOhm 2012</t>
  </si>
  <si>
    <t xml:space="preserve">https://www.mouser.in/ProductDetail/SEI-Stackpole/RMCA0805JT10K0-UP?qs=IPgv5n7u5Qax6yYsSvtfnA%3D%3D</t>
  </si>
  <si>
    <t xml:space="preserve">PPTC Fuse 3216</t>
  </si>
  <si>
    <t xml:space="preserve">https://www.mouser.in/ProductDetail/Eaton-Electronics/PTSA120613V050?qs=sGAEpiMZZMsgjL4JkW1EEQsV523AzWgE9rosSVfPPeciJlnLm7ddUA%3D%3D</t>
  </si>
  <si>
    <t xml:space="preserve">rotary encoder</t>
  </si>
  <si>
    <t xml:space="preserve">https://www.mouser.in/ProductDetail/Bourns/PEC11L-4020F-S0020?qs=fgHA1UgJI8CzObWXJBveJQ%3D%3D</t>
  </si>
  <si>
    <t xml:space="preserve">Push Button</t>
  </si>
  <si>
    <t xml:space="preserve">https://www.mouser.in/ProductDetail/Same-Sky/TS02-66-70-BK-260-LCR-D?qs=A6eO%252BMLsxmRxQEfk53wqSQ%3D%3D</t>
  </si>
  <si>
    <t xml:space="preserve">USB-C port with through-hole pins</t>
  </si>
  <si>
    <t xml:space="preserve">https://www.mouser.in/ProductDetail/Same-Sky/UJ20-C-H-G-SMT-TR?qs=vvQtp7zwQdMB%2FjSfD6wTAw%3D%3D</t>
  </si>
  <si>
    <t xml:space="preserve">Voltage Regulator SOT-25-5</t>
  </si>
  <si>
    <t xml:space="preserve">https://www.mouser.in/ProductDetail/Diodes-Incorporated/AP2112K-3.3TRG1?qs=x6A8l6qLYDDPYHosCdzh%2FA%3D%3D</t>
  </si>
  <si>
    <t xml:space="preserve">USB TVS Diode</t>
  </si>
  <si>
    <t xml:space="preserve">https://www.mouser.in/ProductDetail/STMicroelectronics/USBLC6-2SC6?qs=po45yt2pPpu%2FhNIlwQdTlg%3D%3D&amp;srsltid=AfmBOopm_q0Gfurdl5uVu-EVnkc2JSaB8Zzgr4c8ENxbUED1y3xbm9GP</t>
  </si>
  <si>
    <t xml:space="preserve">1uF 2012</t>
  </si>
  <si>
    <t xml:space="preserve">https://www.mouser.in/ProductDetail/KYOCERA-AVX/KGM21AR71C105JU?qs=Jm2GQyTW%2FbgRn%252Bi87%2FZsQQ%3D%3D</t>
  </si>
  <si>
    <t xml:space="preserve">PCB (converted from USD, not including import duty)</t>
  </si>
  <si>
    <t xml:space="preserve">JLC PCB</t>
  </si>
  <si>
    <t xml:space="preserve">Grand Total (Active):</t>
  </si>
  <si>
    <t xml:space="preserve">Sum - Total</t>
  </si>
  <si>
    <t xml:space="preserve">PCB (not including import duty)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</si>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</sst>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4"/>
      <color theme="1"/>
      <name val="Calibri"/>
      <family val="2"/>
      <charset val="1"/>
    </font>
    <font>
      <sz val="11"/>
      <color rgb="FF006100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i val="true"/>
      <sz val="11"/>
      <color rgb="FF9C0006"/>
      <name val="Cambria"/>
      <family val="1"/>
      <charset val="1"/>
    </font>
    <font>
      <sz val="11"/>
      <color rgb="FFCC0000"/>
      <name val="Calibri"/>
      <family val="2"/>
      <charset val="1"/>
    </font>
    <font>
      <i val="true"/>
      <sz val="11"/>
      <color rgb="FF9C0006"/>
      <name val="Cambria"/>
      <family val="0"/>
      <charset val="1"/>
    </font>
    <font>
      <b val="true"/>
      <sz val="11"/>
      <color rgb="FFFFFFFF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CC"/>
        <bgColor rgb="FFFFC7CE"/>
      </patternFill>
    </fill>
    <fill>
      <patternFill patternType="solid">
        <fgColor rgb="FF808080"/>
        <bgColor rgb="FF969696"/>
      </patternFill>
    </fill>
    <fill>
      <patternFill patternType="solid">
        <fgColor rgb="FF203764"/>
        <bgColor rgb="FF333399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FF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3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  <cellStyle name="Bad" xfId="26"/>
    <cellStyle name="Accent 2" xfId="27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2037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Price Contribution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pt@categories</c:f>
              <c:strCache>
                <c:ptCount val="21"/>
                <c:pt idx="0">
                  <c:v>0.01uF 2012</c:v>
                </c:pt>
                <c:pt idx="1">
                  <c:v>0.1uF 2012</c:v>
                </c:pt>
                <c:pt idx="2">
                  <c:v>10kOhm 2012</c:v>
                </c:pt>
                <c:pt idx="3">
                  <c:v>10uF 2012</c:v>
                </c:pt>
                <c:pt idx="4">
                  <c:v>12Mhz crystals HC49/US</c:v>
                </c:pt>
                <c:pt idx="5">
                  <c:v>1N4148 SOD-123-2</c:v>
                </c:pt>
                <c:pt idx="6">
                  <c:v>2.2uF 2012</c:v>
                </c:pt>
                <c:pt idx="7">
                  <c:v>22pF 2012</c:v>
                </c:pt>
                <c:pt idx="8">
                  <c:v>5.1kOhm 2012</c:v>
                </c:pt>
                <c:pt idx="9">
                  <c:v>MCU (STM32F405RGT6)</c:v>
                </c:pt>
                <c:pt idx="10">
                  <c:v>PCB (not including import duty)</c:v>
                </c:pt>
                <c:pt idx="11">
                  <c:v>PPTC Fuse 3216</c:v>
                </c:pt>
                <c:pt idx="12">
                  <c:v>Push Button</c:v>
                </c:pt>
                <c:pt idx="13">
                  <c:v>rotary encoder</c:v>
                </c:pt>
                <c:pt idx="14">
                  <c:v>sockets</c:v>
                </c:pt>
                <c:pt idx="15">
                  <c:v>Stabs</c:v>
                </c:pt>
                <c:pt idx="16">
                  <c:v>Stabs wire set</c:v>
                </c:pt>
                <c:pt idx="17">
                  <c:v>switches (HMx Hyacinth v2)</c:v>
                </c:pt>
                <c:pt idx="18">
                  <c:v>USB TVS Diode</c:v>
                </c:pt>
                <c:pt idx="19">
                  <c:v>USB-C port with through-hole pins</c:v>
                </c:pt>
                <c:pt idx="20">
                  <c:v>Voltage Regulator SOT-25-5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1"/>
                <c:pt idx="0">
                  <c:v>155.6</c:v>
                </c:pt>
                <c:pt idx="1">
                  <c:v>118.3</c:v>
                </c:pt>
                <c:pt idx="2">
                  <c:v>67.1</c:v>
                </c:pt>
                <c:pt idx="3">
                  <c:v>72.7</c:v>
                </c:pt>
                <c:pt idx="4">
                  <c:v>139.75</c:v>
                </c:pt>
                <c:pt idx="5">
                  <c:v>391</c:v>
                </c:pt>
                <c:pt idx="6">
                  <c:v>235.7</c:v>
                </c:pt>
                <c:pt idx="7">
                  <c:v>140.7</c:v>
                </c:pt>
                <c:pt idx="8">
                  <c:v>18.6</c:v>
                </c:pt>
                <c:pt idx="9">
                  <c:v>924</c:v>
                </c:pt>
                <c:pt idx="10">
                  <c:v>3343.68</c:v>
                </c:pt>
                <c:pt idx="11">
                  <c:v>195.7</c:v>
                </c:pt>
                <c:pt idx="12">
                  <c:v>86.7</c:v>
                </c:pt>
                <c:pt idx="13">
                  <c:v>462.18</c:v>
                </c:pt>
                <c:pt idx="14">
                  <c:v>720</c:v>
                </c:pt>
                <c:pt idx="15">
                  <c:v>384</c:v>
                </c:pt>
                <c:pt idx="16">
                  <c:v>400</c:v>
                </c:pt>
                <c:pt idx="17">
                  <c:v>3240</c:v>
                </c:pt>
                <c:pt idx="18">
                  <c:v>278.6</c:v>
                </c:pt>
                <c:pt idx="19">
                  <c:v>369</c:v>
                </c:pt>
                <c:pt idx="20">
                  <c:v>72.69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423720</xdr:colOff>
      <xdr:row>1</xdr:row>
      <xdr:rowOff>38160</xdr:rowOff>
    </xdr:from>
    <xdr:to>
      <xdr:col>11</xdr:col>
      <xdr:colOff>160560</xdr:colOff>
      <xdr:row>25</xdr:row>
      <xdr:rowOff>95760</xdr:rowOff>
    </xdr:to>
    <xdr:graphicFrame>
      <xdr:nvGraphicFramePr>
        <xdr:cNvPr id="0" name=""/>
        <xdr:cNvGraphicFramePr/>
      </xdr:nvGraphicFramePr>
      <xdr:xfrm>
        <a:off x="5313240" y="200880"/>
        <a:ext cx="7054560" cy="397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 createdVersion="3">
  <cacheSource type="worksheet">
    <worksheetSource ref="A1:G25" sheet="Full Parts List"/>
  </cacheSource>
  <cacheFields count="7">
    <cacheField name="Item Description" numFmtId="0">
      <sharedItems count="24">
        <s v="0.01uF 2012"/>
        <s v="0.1uF 2012"/>
        <s v="10kOhm 2012"/>
        <s v="10uF 2012"/>
        <s v="12Mhz crystals HC49/US"/>
        <s v="1N4148 SOD-123-2"/>
        <s v="1uF 2012"/>
        <s v="2.2uF 2012"/>
        <s v="22pF 2012"/>
        <s v="5.1kOhm 2012"/>
        <s v="MCU (STM32F405RGT6)"/>
        <s v="PCB (not including import duty)"/>
        <s v="PPTC Fuse 3216"/>
        <s v="Push Button"/>
        <s v="rotary encoder"/>
        <s v="sockets"/>
        <s v="Stabs"/>
        <s v="Stabs (optional)"/>
        <s v="Stabs wire set"/>
        <s v="switches (HMx Hyacinth v2)"/>
        <s v="switches (Kailh Box Cream Pro)"/>
        <s v="USB TVS Diode"/>
        <s v="USB-C port with through-hole pins"/>
        <s v="Voltage Regulator SOT-25-5"/>
      </sharedItems>
    </cacheField>
    <cacheField name="Quantity" numFmtId="0">
      <sharedItems containsSemiMixedTypes="0" containsString="0" containsNumber="1" containsInteger="1" minValue="1" maxValue="100" count="8">
        <n v="1"/>
        <n v="2"/>
        <n v="3"/>
        <n v="5"/>
        <n v="9"/>
        <n v="10"/>
        <n v="12"/>
        <n v="100"/>
      </sharedItems>
    </cacheField>
    <cacheField name="Unit Price" numFmtId="0">
      <sharedItems containsSemiMixedTypes="0" containsString="0" containsNumber="1" minValue="1.86" maxValue="3343.68" count="24">
        <n v="1.86"/>
        <n v="3.91"/>
        <n v="6.71"/>
        <n v="7.27"/>
        <n v="8.67"/>
        <n v="11.83"/>
        <n v="14.07"/>
        <n v="15.37"/>
        <n v="15.56"/>
        <n v="23.57"/>
        <n v="24.23"/>
        <n v="27.86"/>
        <n v="27.95"/>
        <n v="32"/>
        <n v="39.14"/>
        <n v="80"/>
        <n v="123"/>
        <n v="231.09"/>
        <n v="360"/>
        <n v="380"/>
        <n v="400"/>
        <n v="462"/>
        <n v="999"/>
        <n v="3343.68"/>
      </sharedItems>
    </cacheField>
    <cacheField name="Total" numFmtId="0">
      <sharedItems containsSemiMixedTypes="0" containsString="0" containsNumber="1" minValue="18.6" maxValue="3420" count="24">
        <n v="18.6"/>
        <n v="67.1"/>
        <n v="72.69"/>
        <n v="72.7"/>
        <n v="86.7"/>
        <n v="118.3"/>
        <n v="139.75"/>
        <n v="140.7"/>
        <n v="153.7"/>
        <n v="155.6"/>
        <n v="195.7"/>
        <n v="235.7"/>
        <n v="278.6"/>
        <n v="369"/>
        <n v="384"/>
        <n v="391"/>
        <n v="400"/>
        <n v="462.18"/>
        <n v="720"/>
        <n v="924"/>
        <n v="999"/>
        <n v="3240"/>
        <n v="3343.68"/>
        <n v="3420"/>
      </sharedItems>
    </cacheField>
    <cacheField name="Category" numFmtId="0">
      <sharedItems count="2">
        <s v="Keyboard Items"/>
        <s v="PCB Items"/>
      </sharedItems>
    </cacheField>
    <cacheField name="Status" numFmtId="0">
      <sharedItems count="2">
        <s v="Active"/>
        <s v="Discarded"/>
      </sharedItems>
    </cacheField>
    <cacheField name="Purchase Link" numFmtId="0">
      <sharedItems count="24">
        <s v="https://meckeys.com/shop/accessories/keyboard-accessories/key-switches/hmx-hyacinth-v2-switch/"/>
        <s v="https://meckeys.com/shop/accessories/keyboard-accessories/key-switches/kailh-box-cream-pro-switch/"/>
        <s v="https://meckeys.com/shop/accessories/keyboard-accessories/key-switches/kailh-hot-swap-socket/"/>
        <s v="https://meckeys.com/shop/accessories/keyboard-accessories/more/glorious-goat-stabilizers/"/>
        <s v="https://neomacro.in/products/cherry-pcb-mount-stabilizers-clip-in"/>
        <s v="https://neomacro.in/products/equalz-c3-stabilizer-wire-set"/>
        <s v="https://robu.in/product/stm32f405rgt6-stmicroelectronics-arm-mcu-advanced-connectivity-and-encryption-stm32-family-stm32f4-series-microcontrollers-2/"/>
        <s v="https://www.mouser.in/ProductDetail/ABRACON/ABLS2-12.000MHZ-D4Y-T?qs=LoTOQoUkC8Rn80rn3Dp9%252Bw%3D%3D"/>
        <s v="https://www.mouser.in/ProductDetail/Bourns/PEC11L-4020F-S0020?qs=fgHA1UgJI8CzObWXJBveJQ%3D%3D"/>
        <s v="https://www.mouser.in/ProductDetail/Diodes-Incorporated/AP2112K-3.3TRG1?qs=x6A8l6qLYDDPYHosCdzh%2FA%3D%3D"/>
        <s v="https://www.mouser.in/ProductDetail/Eaton-Electronics/PTSA120613V050?qs=sGAEpiMZZMsgjL4JkW1EEQsV523AzWgE9rosSVfPPeciJlnLm7ddUA%3D%3D"/>
        <s v="https://www.mouser.in/ProductDetail/KYOCERA-AVX/0805YC103JAT2A?qs=hDfa8caAWT981330vF6Hgg%3D%3D"/>
        <s v="https://www.mouser.in/ProductDetail/KYOCERA-AVX/0805YC225JAT2A?qs=%252BdQmOuGyFcHAs%2FdSKfbQcg%3D%3D"/>
        <s v="https://www.mouser.in/ProductDetail/KYOCERA-AVX/0805ZA220JAT2A?qs=qVfB0%2FDaMDayn2JkoZWS9w%3D%3D"/>
        <s v="https://www.mouser.in/ProductDetail/KYOCERA-AVX/KAM21BR71H104JM?qs=sGAEpiMZZMuMW9TJLBQkXqLYvz3DzaXfcS9olcxY6vM%3D"/>
        <s v="https://www.mouser.in/ProductDetail/KYOCERA-AVX/KGM21AR71C105JU?qs=Jm2GQyTW%2FbgRn%252Bi87%2FZsQQ%3D%3D"/>
        <s v="https://www.mouser.in/ProductDetail/Panjit/1N4148W_R1_00001?qs=sPbYRqrBIVnqVztCqPNVrw%3D%3D"/>
        <s v="https://www.mouser.in/ProductDetail/Same-Sky/TS02-66-70-BK-260-LCR-D?qs=A6eO%252BMLsxmRxQEfk53wqSQ%3D%3D"/>
        <s v="https://www.mouser.in/ProductDetail/Same-Sky/UJ20-C-H-G-SMT-TR?qs=vvQtp7zwQdMB%2FjSfD6wTAw%3D%3D"/>
        <s v="https://www.mouser.in/ProductDetail/SEI-Stackpole/RMCA0805JT10K0-UP?qs=IPgv5n7u5Qax6yYsSvtfnA%3D%3D"/>
        <s v="https://www.mouser.in/ProductDetail/STMicroelectronics/USBLC6-2SC6?qs=po45yt2pPpu%2FhNIlwQdTlg%3D%3D&amp;srsltid=AfmBOopm_q0Gfurdl5uVu-EVnkc2JSaB8Zzgr4c8ENxbUED1y3xbm9GP"/>
        <s v="https://www.mouser.in/ProductDetail/Walsin/0805B106K6R3CT?qs=sGAEpiMZZMuMW9TJLBQkXoaTank9xe3KyjArHnZbXP4%3D"/>
        <s v="https://www.mouser.in/ProductDetail/YAGEO/RC0805JR-105K1L?qs=sGAEpiMZZMtlubZbdhIBIEgN9MQql2m6y5lVZltd6Tw%3D"/>
        <s v="JLC PCB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16"/>
    <x v="6"/>
    <x v="13"/>
    <x v="14"/>
    <x v="0"/>
    <x v="0"/>
    <x v="4"/>
  </r>
  <r>
    <x v="18"/>
    <x v="0"/>
    <x v="20"/>
    <x v="16"/>
    <x v="0"/>
    <x v="0"/>
    <x v="5"/>
  </r>
  <r>
    <x v="17"/>
    <x v="0"/>
    <x v="22"/>
    <x v="20"/>
    <x v="0"/>
    <x v="1"/>
    <x v="3"/>
  </r>
  <r>
    <x v="15"/>
    <x v="4"/>
    <x v="15"/>
    <x v="18"/>
    <x v="0"/>
    <x v="0"/>
    <x v="2"/>
  </r>
  <r>
    <x v="19"/>
    <x v="4"/>
    <x v="18"/>
    <x v="21"/>
    <x v="0"/>
    <x v="0"/>
    <x v="0"/>
  </r>
  <r>
    <x v="20"/>
    <x v="4"/>
    <x v="19"/>
    <x v="23"/>
    <x v="0"/>
    <x v="1"/>
    <x v="1"/>
  </r>
  <r>
    <x v="10"/>
    <x v="1"/>
    <x v="21"/>
    <x v="19"/>
    <x v="1"/>
    <x v="0"/>
    <x v="6"/>
  </r>
  <r>
    <x v="4"/>
    <x v="3"/>
    <x v="12"/>
    <x v="6"/>
    <x v="1"/>
    <x v="0"/>
    <x v="7"/>
  </r>
  <r>
    <x v="5"/>
    <x v="7"/>
    <x v="1"/>
    <x v="15"/>
    <x v="1"/>
    <x v="0"/>
    <x v="16"/>
  </r>
  <r>
    <x v="8"/>
    <x v="5"/>
    <x v="6"/>
    <x v="7"/>
    <x v="1"/>
    <x v="0"/>
    <x v="13"/>
  </r>
  <r>
    <x v="0"/>
    <x v="5"/>
    <x v="8"/>
    <x v="9"/>
    <x v="1"/>
    <x v="0"/>
    <x v="11"/>
  </r>
  <r>
    <x v="1"/>
    <x v="5"/>
    <x v="5"/>
    <x v="5"/>
    <x v="1"/>
    <x v="0"/>
    <x v="14"/>
  </r>
  <r>
    <x v="7"/>
    <x v="5"/>
    <x v="9"/>
    <x v="11"/>
    <x v="1"/>
    <x v="0"/>
    <x v="12"/>
  </r>
  <r>
    <x v="3"/>
    <x v="5"/>
    <x v="3"/>
    <x v="3"/>
    <x v="1"/>
    <x v="0"/>
    <x v="21"/>
  </r>
  <r>
    <x v="9"/>
    <x v="5"/>
    <x v="0"/>
    <x v="0"/>
    <x v="1"/>
    <x v="0"/>
    <x v="22"/>
  </r>
  <r>
    <x v="2"/>
    <x v="5"/>
    <x v="2"/>
    <x v="1"/>
    <x v="1"/>
    <x v="0"/>
    <x v="19"/>
  </r>
  <r>
    <x v="12"/>
    <x v="3"/>
    <x v="14"/>
    <x v="10"/>
    <x v="1"/>
    <x v="0"/>
    <x v="10"/>
  </r>
  <r>
    <x v="14"/>
    <x v="1"/>
    <x v="17"/>
    <x v="17"/>
    <x v="1"/>
    <x v="0"/>
    <x v="8"/>
  </r>
  <r>
    <x v="13"/>
    <x v="5"/>
    <x v="4"/>
    <x v="4"/>
    <x v="1"/>
    <x v="0"/>
    <x v="17"/>
  </r>
  <r>
    <x v="22"/>
    <x v="2"/>
    <x v="16"/>
    <x v="13"/>
    <x v="1"/>
    <x v="0"/>
    <x v="18"/>
  </r>
  <r>
    <x v="23"/>
    <x v="2"/>
    <x v="10"/>
    <x v="2"/>
    <x v="1"/>
    <x v="0"/>
    <x v="9"/>
  </r>
  <r>
    <x v="21"/>
    <x v="5"/>
    <x v="11"/>
    <x v="12"/>
    <x v="1"/>
    <x v="0"/>
    <x v="20"/>
  </r>
  <r>
    <x v="6"/>
    <x v="5"/>
    <x v="7"/>
    <x v="8"/>
    <x v="1"/>
    <x v="1"/>
    <x v="15"/>
  </r>
  <r>
    <x v="11"/>
    <x v="0"/>
    <x v="23"/>
    <x v="22"/>
    <x v="1"/>
    <x v="0"/>
    <x v="2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25" firstHeaderRow="1" firstDataRow="1" firstDataCol="1" rowPageCount="1" colPageCount="1"/>
  <pivotFields count="7">
    <pivotField axis="axisRow" compact="0" showAll="0" defaultSubtotal="0" outline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showAll="0"/>
    <pivotField compact="0" showAll="0"/>
    <pivotField dataField="1" compact="0" showAll="0" outline="0"/>
    <pivotField compact="0" showAll="0"/>
    <pivotField axis="axisPage" compact="0" showAll="0" defaultSubtotal="0" outline="0">
      <items count="2">
        <item x="0"/>
        <item h="1" x="1"/>
      </items>
    </pivotField>
    <pivotField compact="0" showAll="0"/>
  </pivotFields>
  <rowFields count="1">
    <field x="0"/>
  </rowFields>
  <pageFields count="1">
    <pageField fld="5" hier="-1"/>
  </pageFields>
  <dataFields count="1">
    <dataField name="Sum - Total" fld="3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OMTable" displayName="BOMTable" ref="A1:G24" headerRowCount="1" totalsRowCount="0" totalsRowShown="0">
  <autoFilter ref="A1:G24"/>
  <tableColumns count="7">
    <tableColumn id="1" name="Item Description"/>
    <tableColumn id="2" name="Quantity"/>
    <tableColumn id="3" name="Unit Price"/>
    <tableColumn id="4" name="Total"/>
    <tableColumn id="5" name="Category"/>
    <tableColumn id="6" name="Status"/>
    <tableColumn id="7" name="Purchase Lin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eomacro.in/products/cherry-pcb-mount-stabilizers-clip-in" TargetMode="External"/><Relationship Id="rId2" Type="http://schemas.openxmlformats.org/officeDocument/2006/relationships/hyperlink" Target="https://neomacro.in/products/equalz-c3-stabilizer-wire-set" TargetMode="External"/><Relationship Id="rId3" Type="http://schemas.openxmlformats.org/officeDocument/2006/relationships/hyperlink" Target="https://meckeys.com/shop/accessories/keyboard-accessories/more/glorious-goat-stabilizers/" TargetMode="External"/><Relationship Id="rId4" Type="http://schemas.openxmlformats.org/officeDocument/2006/relationships/hyperlink" Target="https://meckeys.com/shop/accessories/keyboard-accessories/key-switches/kailh-hot-swap-socket/" TargetMode="External"/><Relationship Id="rId5" Type="http://schemas.openxmlformats.org/officeDocument/2006/relationships/hyperlink" Target="https://meckeys.com/shop/accessories/keyboard-accessories/key-switches/hmx-hyacinth-v2-switch/" TargetMode="External"/><Relationship Id="rId6" Type="http://schemas.openxmlformats.org/officeDocument/2006/relationships/hyperlink" Target="https://meckeys.com/shop/accessories/keyboard-accessories/key-switches/kailh-box-cream-pro-switch/" TargetMode="External"/><Relationship Id="rId7" Type="http://schemas.openxmlformats.org/officeDocument/2006/relationships/hyperlink" Target="https://robu.in/product/stm32f405rgt6-stmicroelectronics-arm-mcu-advanced-connectivity-and-encryption-stm32-family-stm32f4-series-microcontrollers-2/" TargetMode="External"/><Relationship Id="rId8" Type="http://schemas.openxmlformats.org/officeDocument/2006/relationships/hyperlink" Target="https://www.mouser.in/ProductDetail/ABRACON/ABLS2-12.000MHZ-D4Y-T?qs=LoTOQoUkC8Rn80rn3Dp9%252Bw%3D%3D" TargetMode="External"/><Relationship Id="rId9" Type="http://schemas.openxmlformats.org/officeDocument/2006/relationships/hyperlink" Target="https://www.mouser.in/ProductDetail/Panjit/1N4148W_R1_00001?qs=sPbYRqrBIVnqVztCqPNVrw%3D%3D" TargetMode="External"/><Relationship Id="rId10" Type="http://schemas.openxmlformats.org/officeDocument/2006/relationships/hyperlink" Target="https://www.mouser.in/ProductDetail/KYOCERA-AVX/0805ZA220JAT2A?qs=qVfB0%2FDaMDayn2JkoZWS9w%3D%3D" TargetMode="External"/><Relationship Id="rId11" Type="http://schemas.openxmlformats.org/officeDocument/2006/relationships/hyperlink" Target="https://www.mouser.in/ProductDetail/KYOCERA-AVX/0805YC103JAT2A?qs=hDfa8caAWT981330vF6Hgg%3D%3D" TargetMode="External"/><Relationship Id="rId12" Type="http://schemas.openxmlformats.org/officeDocument/2006/relationships/hyperlink" Target="https://www.mouser.in/ProductDetail/KYOCERA-AVX/KAM21BR71H104JM?qs=sGAEpiMZZMuMW9TJLBQkXqLYvz3DzaXfcS9olcxY6vM%3D" TargetMode="External"/><Relationship Id="rId13" Type="http://schemas.openxmlformats.org/officeDocument/2006/relationships/hyperlink" Target="https://www.mouser.in/ProductDetail/KYOCERA-AVX/0805YC225JAT2A?qs=%252BdQmOuGyFcHAs%2FdSKfbQcg%3D%3D" TargetMode="External"/><Relationship Id="rId14" Type="http://schemas.openxmlformats.org/officeDocument/2006/relationships/hyperlink" Target="https://www.mouser.in/ProductDetail/Walsin/0805B106K6R3CT?qs=sGAEpiMZZMuMW9TJLBQkXoaTank9xe3KyjArHnZbXP4%3D" TargetMode="External"/><Relationship Id="rId15" Type="http://schemas.openxmlformats.org/officeDocument/2006/relationships/hyperlink" Target="https://www.mouser.in/ProductDetail/YAGEO/RC0805JR-105K1L?qs=sGAEpiMZZMtlubZbdhIBIEgN9MQql2m6y5lVZltd6Tw%3D" TargetMode="External"/><Relationship Id="rId16" Type="http://schemas.openxmlformats.org/officeDocument/2006/relationships/hyperlink" Target="https://www.mouser.in/ProductDetail/SEI-Stackpole/RMCA0805JT10K0-UP?qs=IPgv5n7u5Qax6yYsSvtfnA%3D%3D" TargetMode="External"/><Relationship Id="rId17" Type="http://schemas.openxmlformats.org/officeDocument/2006/relationships/hyperlink" Target="https://www.mouser.in/ProductDetail/Eaton-Electronics/PTSA120613V050?qs=sGAEpiMZZMsgjL4JkW1EEQsV523AzWgE9rosSVfPPeciJlnLm7ddUA%3D%3D" TargetMode="External"/><Relationship Id="rId18" Type="http://schemas.openxmlformats.org/officeDocument/2006/relationships/hyperlink" Target="https://www.mouser.in/ProductDetail/Bourns/PEC11L-4020F-S0020?qs=fgHA1UgJI8CzObWXJBveJQ%3D%3D" TargetMode="External"/><Relationship Id="rId19" Type="http://schemas.openxmlformats.org/officeDocument/2006/relationships/hyperlink" Target="https://www.mouser.in/ProductDetail/Same-Sky/TS02-66-70-BK-260-LCR-D?qs=A6eO%252BMLsxmRxQEfk53wqSQ%3D%3D" TargetMode="External"/><Relationship Id="rId20" Type="http://schemas.openxmlformats.org/officeDocument/2006/relationships/hyperlink" Target="https://www.mouser.in/ProductDetail/Same-Sky/UJ20-C-H-G-SMT-TR?qs=vvQtp7zwQdMB%2FjSfD6wTAw%3D%3D" TargetMode="External"/><Relationship Id="rId21" Type="http://schemas.openxmlformats.org/officeDocument/2006/relationships/hyperlink" Target="https://www.mouser.in/ProductDetail/Diodes-Incorporated/AP2112K-3.3TRG1?qs=x6A8l6qLYDDPYHosCdzh%2FA%3D%3D" TargetMode="External"/><Relationship Id="rId22" Type="http://schemas.openxmlformats.org/officeDocument/2006/relationships/hyperlink" Target="https://www.mouser.in/ProductDetail/STMicroelectronics/USBLC6-2SC6?qs=po45yt2pPpu%2FhNIlwQdTlg%3D%3D&amp;srsltid=AfmBOopm_q0Gfurdl5uVu-EVnkc2JSaB8Zzgr4c8ENxbUED1y3xbm9GP" TargetMode="External"/><Relationship Id="rId23" Type="http://schemas.openxmlformats.org/officeDocument/2006/relationships/hyperlink" Target="https://www.mouser.in/ProductDetail/KYOCERA-AVX/KGM21AR71C105JU?qs=Jm2GQyTW%2FbgRn%252Bi87%2FZsQQ%3D%3D" TargetMode="External"/><Relationship Id="rId2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f aca="false">SUMIFS('Full Parts List'!B:B,'Full Parts List'!E:E,"=Keyboard Items",'Full Parts List'!F:F,"=Active")</f>
        <v>31</v>
      </c>
      <c r="C2" s="0" t="n">
        <f aca="false">COUNTIF('Full Parts List'!E:E,"=Keyboard Items")</f>
        <v>6</v>
      </c>
    </row>
    <row r="3" customFormat="false" ht="15" hidden="false" customHeight="false" outlineLevel="0" collapsed="false">
      <c r="A3" s="0" t="s">
        <v>4</v>
      </c>
      <c r="B3" s="0" t="n">
        <f aca="false">SUMIFS('Full Parts List'!B:B,'Full Parts List'!E:E,"=PCB Items",'Full Parts List'!F:F,"=Active")</f>
        <v>211</v>
      </c>
      <c r="C3" s="0" t="n">
        <f aca="false">COUNTIF('Full Parts List'!E:E,"=PCB Items")</f>
        <v>18</v>
      </c>
    </row>
    <row r="4" customFormat="false" ht="15" hidden="false" customHeight="false" outlineLevel="0" collapsed="false">
      <c r="A4" s="2" t="s">
        <v>5</v>
      </c>
      <c r="B4" s="2" t="n">
        <f aca="false">SUM(B2:B3)</f>
        <v>242</v>
      </c>
      <c r="C4" s="2" t="n">
        <f aca="false">SUM(C2:C3)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48"/>
    <col collapsed="false" customWidth="true" hidden="false" outlineLevel="0" max="2" min="2" style="0" width="13.52"/>
    <col collapsed="false" customWidth="true" hidden="false" outlineLevel="0" max="3" min="3" style="0" width="14.5"/>
    <col collapsed="false" customWidth="true" hidden="false" outlineLevel="0" max="4" min="4" style="0" width="9.35"/>
    <col collapsed="false" customWidth="true" hidden="false" outlineLevel="0" max="5" min="5" style="0" width="14.74"/>
    <col collapsed="false" customWidth="true" hidden="false" outlineLevel="0" max="6" min="6" style="0" width="10.16"/>
    <col collapsed="false" customWidth="true" hidden="false" outlineLevel="0" max="7" min="7" style="0" width="170.39"/>
  </cols>
  <sheetData>
    <row r="1" s="3" customFormat="true" ht="17.3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customFormat="false" ht="16.4" hidden="false" customHeight="false" outlineLevel="0" collapsed="false">
      <c r="A2" s="4" t="s">
        <v>13</v>
      </c>
      <c r="B2" s="5" t="n">
        <v>12</v>
      </c>
      <c r="C2" s="5" t="n">
        <v>32</v>
      </c>
      <c r="D2" s="5" t="n">
        <f aca="false">C2*B2</f>
        <v>384</v>
      </c>
      <c r="E2" s="0" t="s">
        <v>3</v>
      </c>
      <c r="F2" s="6" t="s">
        <v>14</v>
      </c>
      <c r="G2" s="7" t="s">
        <v>15</v>
      </c>
    </row>
    <row r="3" customFormat="false" ht="16.4" hidden="false" customHeight="false" outlineLevel="0" collapsed="false">
      <c r="A3" s="4" t="s">
        <v>16</v>
      </c>
      <c r="B3" s="5" t="n">
        <v>1</v>
      </c>
      <c r="C3" s="5" t="n">
        <v>400</v>
      </c>
      <c r="D3" s="5" t="n">
        <f aca="false">C3*B3</f>
        <v>400</v>
      </c>
      <c r="E3" s="0" t="s">
        <v>3</v>
      </c>
      <c r="F3" s="6" t="s">
        <v>14</v>
      </c>
      <c r="G3" s="7" t="s">
        <v>17</v>
      </c>
    </row>
    <row r="4" customFormat="false" ht="16.4" hidden="false" customHeight="false" outlineLevel="0" collapsed="false">
      <c r="A4" s="4" t="s">
        <v>18</v>
      </c>
      <c r="B4" s="5" t="n">
        <v>1</v>
      </c>
      <c r="C4" s="5" t="n">
        <v>999</v>
      </c>
      <c r="D4" s="5" t="n">
        <f aca="false">C4*B4</f>
        <v>999</v>
      </c>
      <c r="E4" s="0" t="s">
        <v>3</v>
      </c>
      <c r="F4" s="8" t="s">
        <v>19</v>
      </c>
      <c r="G4" s="7" t="s">
        <v>20</v>
      </c>
    </row>
    <row r="5" customFormat="false" ht="16.4" hidden="false" customHeight="false" outlineLevel="0" collapsed="false">
      <c r="A5" s="4" t="s">
        <v>21</v>
      </c>
      <c r="B5" s="5" t="n">
        <v>9</v>
      </c>
      <c r="C5" s="5" t="n">
        <v>80</v>
      </c>
      <c r="D5" s="5" t="n">
        <f aca="false">C5*B5</f>
        <v>720</v>
      </c>
      <c r="E5" s="0" t="s">
        <v>3</v>
      </c>
      <c r="F5" s="6" t="s">
        <v>14</v>
      </c>
      <c r="G5" s="7" t="s">
        <v>22</v>
      </c>
    </row>
    <row r="6" customFormat="false" ht="16.4" hidden="false" customHeight="false" outlineLevel="0" collapsed="false">
      <c r="A6" s="4" t="s">
        <v>23</v>
      </c>
      <c r="B6" s="5" t="n">
        <v>9</v>
      </c>
      <c r="C6" s="5" t="n">
        <v>360</v>
      </c>
      <c r="D6" s="5" t="n">
        <f aca="false">C6*B6</f>
        <v>3240</v>
      </c>
      <c r="E6" s="0" t="s">
        <v>3</v>
      </c>
      <c r="F6" s="6" t="s">
        <v>14</v>
      </c>
      <c r="G6" s="7" t="s">
        <v>24</v>
      </c>
    </row>
    <row r="7" customFormat="false" ht="16.4" hidden="false" customHeight="false" outlineLevel="0" collapsed="false">
      <c r="A7" s="4" t="s">
        <v>25</v>
      </c>
      <c r="B7" s="5" t="n">
        <v>9</v>
      </c>
      <c r="C7" s="5" t="n">
        <v>380</v>
      </c>
      <c r="D7" s="5" t="n">
        <f aca="false">C7*B7</f>
        <v>3420</v>
      </c>
      <c r="E7" s="0" t="s">
        <v>3</v>
      </c>
      <c r="F7" s="8" t="s">
        <v>19</v>
      </c>
      <c r="G7" s="7" t="s">
        <v>26</v>
      </c>
    </row>
    <row r="8" customFormat="false" ht="16.4" hidden="false" customHeight="false" outlineLevel="0" collapsed="false">
      <c r="A8" s="4" t="s">
        <v>27</v>
      </c>
      <c r="B8" s="5" t="n">
        <v>2</v>
      </c>
      <c r="C8" s="5" t="n">
        <v>462</v>
      </c>
      <c r="D8" s="5" t="n">
        <f aca="false">C8*B8</f>
        <v>924</v>
      </c>
      <c r="E8" s="0" t="s">
        <v>4</v>
      </c>
      <c r="F8" s="6" t="s">
        <v>14</v>
      </c>
      <c r="G8" s="7" t="s">
        <v>28</v>
      </c>
    </row>
    <row r="9" customFormat="false" ht="16.4" hidden="false" customHeight="false" outlineLevel="0" collapsed="false">
      <c r="A9" s="4" t="s">
        <v>29</v>
      </c>
      <c r="B9" s="5" t="n">
        <v>5</v>
      </c>
      <c r="C9" s="5" t="n">
        <v>27.95</v>
      </c>
      <c r="D9" s="5" t="n">
        <f aca="false">C9*B9</f>
        <v>139.75</v>
      </c>
      <c r="E9" s="0" t="s">
        <v>4</v>
      </c>
      <c r="F9" s="6" t="s">
        <v>14</v>
      </c>
      <c r="G9" s="7" t="s">
        <v>30</v>
      </c>
    </row>
    <row r="10" customFormat="false" ht="16.4" hidden="false" customHeight="false" outlineLevel="0" collapsed="false">
      <c r="A10" s="4" t="s">
        <v>31</v>
      </c>
      <c r="B10" s="5" t="n">
        <v>100</v>
      </c>
      <c r="C10" s="5" t="n">
        <v>3.91</v>
      </c>
      <c r="D10" s="5" t="n">
        <f aca="false">C10*B10</f>
        <v>391</v>
      </c>
      <c r="E10" s="0" t="s">
        <v>4</v>
      </c>
      <c r="F10" s="6" t="s">
        <v>14</v>
      </c>
      <c r="G10" s="7" t="s">
        <v>32</v>
      </c>
    </row>
    <row r="11" customFormat="false" ht="16.4" hidden="false" customHeight="false" outlineLevel="0" collapsed="false">
      <c r="A11" s="4" t="s">
        <v>33</v>
      </c>
      <c r="B11" s="5" t="n">
        <v>10</v>
      </c>
      <c r="C11" s="5" t="n">
        <v>14.07</v>
      </c>
      <c r="D11" s="5" t="n">
        <f aca="false">C11*B11</f>
        <v>140.7</v>
      </c>
      <c r="E11" s="0" t="s">
        <v>4</v>
      </c>
      <c r="F11" s="6" t="s">
        <v>14</v>
      </c>
      <c r="G11" s="7" t="s">
        <v>34</v>
      </c>
    </row>
    <row r="12" customFormat="false" ht="16.4" hidden="false" customHeight="false" outlineLevel="0" collapsed="false">
      <c r="A12" s="4" t="s">
        <v>35</v>
      </c>
      <c r="B12" s="5" t="n">
        <v>10</v>
      </c>
      <c r="C12" s="5" t="n">
        <v>15.56</v>
      </c>
      <c r="D12" s="5" t="n">
        <f aca="false">C12*B12</f>
        <v>155.6</v>
      </c>
      <c r="E12" s="0" t="s">
        <v>4</v>
      </c>
      <c r="F12" s="6" t="s">
        <v>14</v>
      </c>
      <c r="G12" s="7" t="s">
        <v>36</v>
      </c>
    </row>
    <row r="13" customFormat="false" ht="16.4" hidden="false" customHeight="false" outlineLevel="0" collapsed="false">
      <c r="A13" s="4" t="s">
        <v>37</v>
      </c>
      <c r="B13" s="5" t="n">
        <v>10</v>
      </c>
      <c r="C13" s="5" t="n">
        <v>11.83</v>
      </c>
      <c r="D13" s="5" t="n">
        <f aca="false">C13*B13</f>
        <v>118.3</v>
      </c>
      <c r="E13" s="0" t="s">
        <v>4</v>
      </c>
      <c r="F13" s="6" t="s">
        <v>14</v>
      </c>
      <c r="G13" s="7" t="s">
        <v>38</v>
      </c>
    </row>
    <row r="14" customFormat="false" ht="16.4" hidden="false" customHeight="false" outlineLevel="0" collapsed="false">
      <c r="A14" s="4" t="s">
        <v>39</v>
      </c>
      <c r="B14" s="5" t="n">
        <v>10</v>
      </c>
      <c r="C14" s="5" t="n">
        <v>23.57</v>
      </c>
      <c r="D14" s="5" t="n">
        <f aca="false">C14*B14</f>
        <v>235.7</v>
      </c>
      <c r="E14" s="0" t="s">
        <v>4</v>
      </c>
      <c r="F14" s="6" t="s">
        <v>14</v>
      </c>
      <c r="G14" s="7" t="s">
        <v>40</v>
      </c>
    </row>
    <row r="15" customFormat="false" ht="16.4" hidden="false" customHeight="false" outlineLevel="0" collapsed="false">
      <c r="A15" s="4" t="s">
        <v>41</v>
      </c>
      <c r="B15" s="5" t="n">
        <v>10</v>
      </c>
      <c r="C15" s="5" t="n">
        <v>7.27</v>
      </c>
      <c r="D15" s="5" t="n">
        <f aca="false">C15*B15</f>
        <v>72.7</v>
      </c>
      <c r="E15" s="0" t="s">
        <v>4</v>
      </c>
      <c r="F15" s="6" t="s">
        <v>14</v>
      </c>
      <c r="G15" s="7" t="s">
        <v>42</v>
      </c>
    </row>
    <row r="16" customFormat="false" ht="16.4" hidden="false" customHeight="false" outlineLevel="0" collapsed="false">
      <c r="A16" s="4" t="s">
        <v>43</v>
      </c>
      <c r="B16" s="5" t="n">
        <v>10</v>
      </c>
      <c r="C16" s="5" t="n">
        <v>1.86</v>
      </c>
      <c r="D16" s="5" t="n">
        <f aca="false">C16*B16</f>
        <v>18.6</v>
      </c>
      <c r="E16" s="0" t="s">
        <v>4</v>
      </c>
      <c r="F16" s="6" t="s">
        <v>14</v>
      </c>
      <c r="G16" s="7" t="s">
        <v>44</v>
      </c>
    </row>
    <row r="17" customFormat="false" ht="16.4" hidden="false" customHeight="false" outlineLevel="0" collapsed="false">
      <c r="A17" s="4" t="s">
        <v>45</v>
      </c>
      <c r="B17" s="5" t="n">
        <v>10</v>
      </c>
      <c r="C17" s="5" t="n">
        <v>6.71</v>
      </c>
      <c r="D17" s="5" t="n">
        <f aca="false">C17*B17</f>
        <v>67.1</v>
      </c>
      <c r="E17" s="0" t="s">
        <v>4</v>
      </c>
      <c r="F17" s="6" t="s">
        <v>14</v>
      </c>
      <c r="G17" s="7" t="s">
        <v>46</v>
      </c>
    </row>
    <row r="18" customFormat="false" ht="16.4" hidden="false" customHeight="false" outlineLevel="0" collapsed="false">
      <c r="A18" s="4" t="s">
        <v>47</v>
      </c>
      <c r="B18" s="5" t="n">
        <v>5</v>
      </c>
      <c r="C18" s="5" t="n">
        <v>39.14</v>
      </c>
      <c r="D18" s="5" t="n">
        <f aca="false">C18*B18</f>
        <v>195.7</v>
      </c>
      <c r="E18" s="0" t="s">
        <v>4</v>
      </c>
      <c r="F18" s="6" t="s">
        <v>14</v>
      </c>
      <c r="G18" s="7" t="s">
        <v>48</v>
      </c>
    </row>
    <row r="19" customFormat="false" ht="16.4" hidden="false" customHeight="false" outlineLevel="0" collapsed="false">
      <c r="A19" s="4" t="s">
        <v>49</v>
      </c>
      <c r="B19" s="5" t="n">
        <v>2</v>
      </c>
      <c r="C19" s="5" t="n">
        <v>231.09</v>
      </c>
      <c r="D19" s="5" t="n">
        <f aca="false">C19*B19</f>
        <v>462.18</v>
      </c>
      <c r="E19" s="0" t="s">
        <v>4</v>
      </c>
      <c r="F19" s="6" t="s">
        <v>14</v>
      </c>
      <c r="G19" s="7" t="s">
        <v>50</v>
      </c>
    </row>
    <row r="20" customFormat="false" ht="16.4" hidden="false" customHeight="false" outlineLevel="0" collapsed="false">
      <c r="A20" s="4" t="s">
        <v>51</v>
      </c>
      <c r="B20" s="5" t="n">
        <v>10</v>
      </c>
      <c r="C20" s="5" t="n">
        <v>8.67</v>
      </c>
      <c r="D20" s="5" t="n">
        <f aca="false">C20*B20</f>
        <v>86.7</v>
      </c>
      <c r="E20" s="0" t="s">
        <v>4</v>
      </c>
      <c r="F20" s="6" t="s">
        <v>14</v>
      </c>
      <c r="G20" s="7" t="s">
        <v>52</v>
      </c>
    </row>
    <row r="21" customFormat="false" ht="16.4" hidden="false" customHeight="false" outlineLevel="0" collapsed="false">
      <c r="A21" s="4" t="s">
        <v>53</v>
      </c>
      <c r="B21" s="5" t="n">
        <v>3</v>
      </c>
      <c r="C21" s="5" t="n">
        <v>123</v>
      </c>
      <c r="D21" s="5" t="n">
        <f aca="false">C21*B21</f>
        <v>369</v>
      </c>
      <c r="E21" s="0" t="s">
        <v>4</v>
      </c>
      <c r="F21" s="6" t="s">
        <v>14</v>
      </c>
      <c r="G21" s="7" t="s">
        <v>54</v>
      </c>
    </row>
    <row r="22" customFormat="false" ht="16.4" hidden="false" customHeight="false" outlineLevel="0" collapsed="false">
      <c r="A22" s="4" t="s">
        <v>55</v>
      </c>
      <c r="B22" s="5" t="n">
        <v>3</v>
      </c>
      <c r="C22" s="5" t="n">
        <v>24.23</v>
      </c>
      <c r="D22" s="5" t="n">
        <f aca="false">C22*B22</f>
        <v>72.69</v>
      </c>
      <c r="E22" s="0" t="s">
        <v>4</v>
      </c>
      <c r="F22" s="6" t="s">
        <v>14</v>
      </c>
      <c r="G22" s="7" t="s">
        <v>56</v>
      </c>
    </row>
    <row r="23" customFormat="false" ht="16.4" hidden="false" customHeight="false" outlineLevel="0" collapsed="false">
      <c r="A23" s="4" t="s">
        <v>57</v>
      </c>
      <c r="B23" s="5" t="n">
        <v>10</v>
      </c>
      <c r="C23" s="5" t="n">
        <v>27.86</v>
      </c>
      <c r="D23" s="5" t="n">
        <f aca="false">C23*B23</f>
        <v>278.6</v>
      </c>
      <c r="E23" s="0" t="s">
        <v>4</v>
      </c>
      <c r="F23" s="6" t="s">
        <v>14</v>
      </c>
      <c r="G23" s="7" t="s">
        <v>58</v>
      </c>
    </row>
    <row r="24" customFormat="false" ht="16.4" hidden="false" customHeight="false" outlineLevel="0" collapsed="false">
      <c r="A24" s="4" t="s">
        <v>59</v>
      </c>
      <c r="B24" s="5" t="n">
        <v>10</v>
      </c>
      <c r="C24" s="5" t="n">
        <v>15.37</v>
      </c>
      <c r="D24" s="5" t="n">
        <f aca="false">C24*B24</f>
        <v>153.7</v>
      </c>
      <c r="E24" s="0" t="s">
        <v>4</v>
      </c>
      <c r="F24" s="9" t="s">
        <v>19</v>
      </c>
      <c r="G24" s="7" t="s">
        <v>60</v>
      </c>
    </row>
    <row r="25" customFormat="false" ht="16.4" hidden="false" customHeight="false" outlineLevel="0" collapsed="false">
      <c r="A25" s="4" t="s">
        <v>61</v>
      </c>
      <c r="B25" s="5" t="n">
        <v>1</v>
      </c>
      <c r="C25" s="5" t="n">
        <f aca="false">(25.9 + 8.93)*96</f>
        <v>3343.68</v>
      </c>
      <c r="D25" s="5" t="n">
        <f aca="false">C25*B25</f>
        <v>3343.68</v>
      </c>
      <c r="E25" s="0" t="s">
        <v>4</v>
      </c>
      <c r="F25" s="6" t="s">
        <v>14</v>
      </c>
      <c r="G25" s="7" t="s">
        <v>62</v>
      </c>
    </row>
    <row r="29" customFormat="false" ht="15" hidden="false" customHeight="false" outlineLevel="0" collapsed="false">
      <c r="A29" s="10" t="s">
        <v>63</v>
      </c>
      <c r="B29" s="10" t="n">
        <f aca="false">SUMIF(F2:F25,"&lt;&gt;Discarded",D2:D25)</f>
        <v>11816</v>
      </c>
    </row>
  </sheetData>
  <hyperlinks>
    <hyperlink ref="G2" r:id="rId1" display="https://neomacro.in/products/cherry-pcb-mount-stabilizers-clip-in"/>
    <hyperlink ref="G3" r:id="rId2" display="https://neomacro.in/products/equalz-c3-stabilizer-wire-set"/>
    <hyperlink ref="G4" r:id="rId3" display="https://meckeys.com/shop/accessories/keyboard-accessories/more/glorious-goat-stabilizers/"/>
    <hyperlink ref="G5" r:id="rId4" display="https://meckeys.com/shop/accessories/keyboard-accessories/key-switches/kailh-hot-swap-socket/"/>
    <hyperlink ref="G6" r:id="rId5" display="https://meckeys.com/shop/accessories/keyboard-accessories/key-switches/hmx-hyacinth-v2-switch/"/>
    <hyperlink ref="G7" r:id="rId6" display="https://meckeys.com/shop/accessories/keyboard-accessories/key-switches/kailh-box-cream-pro-switch/"/>
    <hyperlink ref="G8" r:id="rId7" display="https://robu.in/product/stm32f405rgt6-stmicroelectronics-arm-mcu-advanced-connectivity-and-encryption-stm32-family-stm32f4-series-microcontrollers-2/"/>
    <hyperlink ref="G9" r:id="rId8" display="https://www.mouser.in/ProductDetail/ABRACON/ABLS2-12.000MHZ-D4Y-T?qs=LoTOQoUkC8Rn80rn3Dp9%252Bw%3D%3D"/>
    <hyperlink ref="G10" r:id="rId9" display="https://www.mouser.in/ProductDetail/Panjit/1N4148W_R1_00001?qs=sPbYRqrBIVnqVztCqPNVrw%3D%3D"/>
    <hyperlink ref="G11" r:id="rId10" display="https://www.mouser.in/ProductDetail/KYOCERA-AVX/0805ZA220JAT2A?qs=qVfB0%2FDaMDayn2JkoZWS9w%3D%3D"/>
    <hyperlink ref="G12" r:id="rId11" display="https://www.mouser.in/ProductDetail/KYOCERA-AVX/0805YC103JAT2A?qs=hDfa8caAWT981330vF6Hgg%3D%3D"/>
    <hyperlink ref="G13" r:id="rId12" display="https://www.mouser.in/ProductDetail/KYOCERA-AVX/KAM21BR71H104JM?qs=sGAEpiMZZMuMW9TJLBQkXqLYvz3DzaXfcS9olcxY6vM%3D"/>
    <hyperlink ref="G14" r:id="rId13" display="https://www.mouser.in/ProductDetail/KYOCERA-AVX/0805YC225JAT2A?qs=%252BdQmOuGyFcHAs%2FdSKfbQcg%3D%3D"/>
    <hyperlink ref="G15" r:id="rId14" display="https://www.mouser.in/ProductDetail/Walsin/0805B106K6R3CT?qs=sGAEpiMZZMuMW9TJLBQkXoaTank9xe3KyjArHnZbXP4%3D"/>
    <hyperlink ref="G16" r:id="rId15" display="https://www.mouser.in/ProductDetail/YAGEO/RC0805JR-105K1L?qs=sGAEpiMZZMtlubZbdhIBIEgN9MQql2m6y5lVZltd6Tw%3D"/>
    <hyperlink ref="G17" r:id="rId16" display="https://www.mouser.in/ProductDetail/SEI-Stackpole/RMCA0805JT10K0-UP?qs=IPgv5n7u5Qax6yYsSvtfnA%3D%3D"/>
    <hyperlink ref="G18" r:id="rId17" display="https://www.mouser.in/ProductDetail/Eaton-Electronics/PTSA120613V050?qs=sGAEpiMZZMsgjL4JkW1EEQsV523AzWgE9rosSVfPPeciJlnLm7ddUA%3D%3D"/>
    <hyperlink ref="G19" r:id="rId18" display="https://www.mouser.in/ProductDetail/Bourns/PEC11L-4020F-S0020?qs=fgHA1UgJI8CzObWXJBveJQ%3D%3D"/>
    <hyperlink ref="G20" r:id="rId19" display="https://www.mouser.in/ProductDetail/Same-Sky/TS02-66-70-BK-260-LCR-D?qs=A6eO%252BMLsxmRxQEfk53wqSQ%3D%3D"/>
    <hyperlink ref="G21" r:id="rId20" display="https://www.mouser.in/ProductDetail/Same-Sky/UJ20-C-H-G-SMT-TR?qs=vvQtp7zwQdMB%2FjSfD6wTAw%3D%3D"/>
    <hyperlink ref="G22" r:id="rId21" display="https://www.mouser.in/ProductDetail/Diodes-Incorporated/AP2112K-3.3TRG1?qs=x6A8l6qLYDDPYHosCdzh%2FA%3D%3D"/>
    <hyperlink ref="G23" r:id="rId22" display="https://www.mouser.in/ProductDetail/STMicroelectronics/USBLC6-2SC6?qs=po45yt2pPpu%2FhNIlwQdTlg%3D%3D&amp;srsltid=AfmBOopm_q0Gfurdl5uVu-EVnkc2JSaB8Zzgr4c8ENxbUED1y3xbm9GP"/>
    <hyperlink ref="G24" r:id="rId23" display="https://www.mouser.in/ProductDetail/KYOCERA-AVX/KGM21AR71C105JU?qs=Jm2GQyTW%2FbgRn%252Bi87%2FZsQQ%3D%3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0.16015625" defaultRowHeight="12.8" zeroHeight="false" outlineLevelRow="0" outlineLevelCol="0"/>
  <cols>
    <col collapsed="false" customWidth="true" hidden="false" outlineLevel="0" max="2" min="1" style="0" width="30.56"/>
  </cols>
  <sheetData>
    <row r="1" customFormat="false" ht="12.8" hidden="false" customHeight="false" outlineLevel="0" collapsed="false">
      <c r="A1" s="11" t="s">
        <v>11</v>
      </c>
      <c r="B1" s="12" t="s">
        <v>14</v>
      </c>
    </row>
    <row r="2" customFormat="false" ht="13.8" hidden="false" customHeight="false" outlineLevel="0" collapsed="false"/>
    <row r="3" customFormat="false" ht="12.8" hidden="false" customHeight="false" outlineLevel="0" collapsed="false">
      <c r="A3" s="13" t="s">
        <v>6</v>
      </c>
      <c r="B3" s="14" t="s">
        <v>64</v>
      </c>
    </row>
    <row r="4" customFormat="false" ht="12.8" hidden="false" customHeight="false" outlineLevel="0" collapsed="false">
      <c r="A4" s="15" t="s">
        <v>35</v>
      </c>
      <c r="B4" s="16" t="n">
        <v>155.6</v>
      </c>
    </row>
    <row r="5" customFormat="false" ht="12.8" hidden="false" customHeight="false" outlineLevel="0" collapsed="false">
      <c r="A5" s="17" t="s">
        <v>37</v>
      </c>
      <c r="B5" s="18" t="n">
        <v>118.3</v>
      </c>
    </row>
    <row r="6" customFormat="false" ht="12.8" hidden="false" customHeight="false" outlineLevel="0" collapsed="false">
      <c r="A6" s="17" t="s">
        <v>45</v>
      </c>
      <c r="B6" s="18" t="n">
        <v>67.1</v>
      </c>
    </row>
    <row r="7" customFormat="false" ht="12.8" hidden="false" customHeight="false" outlineLevel="0" collapsed="false">
      <c r="A7" s="17" t="s">
        <v>41</v>
      </c>
      <c r="B7" s="18" t="n">
        <v>72.7</v>
      </c>
    </row>
    <row r="8" customFormat="false" ht="12.8" hidden="false" customHeight="false" outlineLevel="0" collapsed="false">
      <c r="A8" s="17" t="s">
        <v>29</v>
      </c>
      <c r="B8" s="18" t="n">
        <v>139.75</v>
      </c>
    </row>
    <row r="9" customFormat="false" ht="12.8" hidden="false" customHeight="false" outlineLevel="0" collapsed="false">
      <c r="A9" s="17" t="s">
        <v>31</v>
      </c>
      <c r="B9" s="18" t="n">
        <v>391</v>
      </c>
    </row>
    <row r="10" customFormat="false" ht="12.8" hidden="false" customHeight="false" outlineLevel="0" collapsed="false">
      <c r="A10" s="17" t="s">
        <v>39</v>
      </c>
      <c r="B10" s="18" t="n">
        <v>235.7</v>
      </c>
    </row>
    <row r="11" customFormat="false" ht="12.8" hidden="false" customHeight="false" outlineLevel="0" collapsed="false">
      <c r="A11" s="17" t="s">
        <v>33</v>
      </c>
      <c r="B11" s="18" t="n">
        <v>140.7</v>
      </c>
    </row>
    <row r="12" customFormat="false" ht="12.8" hidden="false" customHeight="false" outlineLevel="0" collapsed="false">
      <c r="A12" s="17" t="s">
        <v>43</v>
      </c>
      <c r="B12" s="18" t="n">
        <v>18.6</v>
      </c>
    </row>
    <row r="13" customFormat="false" ht="12.8" hidden="false" customHeight="false" outlineLevel="0" collapsed="false">
      <c r="A13" s="17" t="s">
        <v>27</v>
      </c>
      <c r="B13" s="18" t="n">
        <v>924</v>
      </c>
    </row>
    <row r="14" customFormat="false" ht="12.8" hidden="false" customHeight="false" outlineLevel="0" collapsed="false">
      <c r="A14" s="17" t="s">
        <v>65</v>
      </c>
      <c r="B14" s="18" t="n">
        <v>3343.68</v>
      </c>
    </row>
    <row r="15" customFormat="false" ht="12.8" hidden="false" customHeight="false" outlineLevel="0" collapsed="false">
      <c r="A15" s="17" t="s">
        <v>47</v>
      </c>
      <c r="B15" s="18" t="n">
        <v>195.7</v>
      </c>
    </row>
    <row r="16" customFormat="false" ht="12.8" hidden="false" customHeight="false" outlineLevel="0" collapsed="false">
      <c r="A16" s="17" t="s">
        <v>51</v>
      </c>
      <c r="B16" s="18" t="n">
        <v>86.7</v>
      </c>
    </row>
    <row r="17" customFormat="false" ht="12.8" hidden="false" customHeight="false" outlineLevel="0" collapsed="false">
      <c r="A17" s="17" t="s">
        <v>49</v>
      </c>
      <c r="B17" s="18" t="n">
        <v>462.18</v>
      </c>
    </row>
    <row r="18" customFormat="false" ht="12.8" hidden="false" customHeight="false" outlineLevel="0" collapsed="false">
      <c r="A18" s="17" t="s">
        <v>21</v>
      </c>
      <c r="B18" s="18" t="n">
        <v>720</v>
      </c>
    </row>
    <row r="19" customFormat="false" ht="12.8" hidden="false" customHeight="false" outlineLevel="0" collapsed="false">
      <c r="A19" s="17" t="s">
        <v>13</v>
      </c>
      <c r="B19" s="18" t="n">
        <v>384</v>
      </c>
    </row>
    <row r="20" customFormat="false" ht="12.8" hidden="false" customHeight="false" outlineLevel="0" collapsed="false">
      <c r="A20" s="17" t="s">
        <v>16</v>
      </c>
      <c r="B20" s="18" t="n">
        <v>400</v>
      </c>
    </row>
    <row r="21" customFormat="false" ht="12.8" hidden="false" customHeight="false" outlineLevel="0" collapsed="false">
      <c r="A21" s="17" t="s">
        <v>23</v>
      </c>
      <c r="B21" s="18" t="n">
        <v>3240</v>
      </c>
    </row>
    <row r="22" customFormat="false" ht="12.8" hidden="false" customHeight="false" outlineLevel="0" collapsed="false">
      <c r="A22" s="17" t="s">
        <v>57</v>
      </c>
      <c r="B22" s="18" t="n">
        <v>278.6</v>
      </c>
    </row>
    <row r="23" customFormat="false" ht="12.8" hidden="false" customHeight="false" outlineLevel="0" collapsed="false">
      <c r="A23" s="17" t="s">
        <v>53</v>
      </c>
      <c r="B23" s="18" t="n">
        <v>369</v>
      </c>
    </row>
    <row r="24" customFormat="false" ht="12.8" hidden="false" customHeight="false" outlineLevel="0" collapsed="false">
      <c r="A24" s="17" t="s">
        <v>55</v>
      </c>
      <c r="B24" s="19" t="n">
        <v>72.69</v>
      </c>
    </row>
    <row r="25" customFormat="false" ht="12.8" hidden="false" customHeight="false" outlineLevel="0" collapsed="false">
      <c r="A25" s="20" t="s">
        <v>66</v>
      </c>
      <c r="B25" s="21" t="n">
        <v>11816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2026-06-09T11:53:07Z</dcterms:created>
  <dc:creator>openpyxl</dc:creator>
  <dc:description/>
  <dc:language>en-US</dc:language>
  <cp:lastModifiedBy/>
  <dcterms:modified xsi:type="dcterms:W3CDTF">2026-06-09T19:37:52Z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